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fec\BA_TOOL_For_multiple_DB\"/>
    </mc:Choice>
  </mc:AlternateContent>
  <xr:revisionPtr revIDLastSave="0" documentId="13_ncr:1_{DA432532-F33C-4EF5-AB4A-9847D83943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C45" i="1"/>
  <c r="C43" i="1"/>
  <c r="C42" i="1"/>
</calcChain>
</file>

<file path=xl/sharedStrings.xml><?xml version="1.0" encoding="utf-8"?>
<sst xmlns="http://schemas.openxmlformats.org/spreadsheetml/2006/main" count="318" uniqueCount="175">
  <si>
    <t>รหัสกรณีทดสอบ</t>
  </si>
  <si>
    <t>วัตถุประสงค์การทดสอบ</t>
  </si>
  <si>
    <t>เงื่อนไขเบื้องต้น</t>
  </si>
  <si>
    <t>ขั้นตอน</t>
  </si>
  <si>
    <t>ข้อมูลนำเข้า</t>
  </si>
  <si>
    <t>ผลลัพธ์ที่คาดหวัง</t>
  </si>
  <si>
    <t>ผลลัพธ์จริง</t>
  </si>
  <si>
    <t>สถานะ</t>
  </si>
  <si>
    <t>TC_01</t>
  </si>
  <si>
    <t>อัปโหลดไฟล์ CSV เดียว</t>
  </si>
  <si>
    <t>ผู้ใช้เข้าสู่ระบบแล้ว, แบ็กเอนด์ออนไลน์</t>
  </si>
  <si>
    <t>1. Navigate to target page
2. Perform the action described in Objective
3. Observe the output</t>
  </si>
  <si>
    <t>ไฟล์ CSV (1 ชีต)</t>
  </si>
  <si>
    <t>อัปโหลดไฟล์สำเร็จ</t>
  </si>
  <si>
    <t>TC_02</t>
  </si>
  <si>
    <t>อัปโหลดไฟล์ด้วย Drag &amp; Drop</t>
  </si>
  <si>
    <t>ผู้ใช้เปิดหน้าต่าง, แบ็กเอนด์ออนไลน์</t>
  </si>
  <si>
    <t>ไฟล์ที่รองรับทุกประเภท</t>
  </si>
  <si>
    <t>TC_03</t>
  </si>
  <si>
    <t>ตรวจจับไฟล์ซ้ำ</t>
  </si>
  <si>
    <t>ไฟล์เดิมสองครั้ง</t>
  </si>
  <si>
    <t>TC_04</t>
  </si>
  <si>
    <t>ไฟล์ที่มีอักขระพิเศษในชื่อ</t>
  </si>
  <si>
    <t>file!@#$%^.csv</t>
  </si>
  <si>
    <t>TC_05</t>
  </si>
  <si>
    <t>การแยกวิเคราะห์ CSV พื้นฐาน</t>
  </si>
  <si>
    <t>CSV มาตรฐาน</t>
  </si>
  <si>
    <t>แยกวิเคราะห์ข้อมูลลงในตารางได้ถูกต้อง</t>
  </si>
  <si>
    <t>TC_06</t>
  </si>
  <si>
    <t>CSV ที่มีฟิลด์ในเครื่องหมายคำพูด (พร้อมคอมมา)</t>
  </si>
  <si>
    <t>CSV ที่มีเครื่องหมาย "ค่า, คอมมา"</t>
  </si>
  <si>
    <t>ละเว้นคอมมาภายในเครื่องหมายคำพูด</t>
  </si>
  <si>
    <t>TC_07</t>
  </si>
  <si>
    <t>CSV ที่มีค่าว่าง (ฟิลด์ null)</t>
  </si>
  <si>
    <t>CSV ที่มีช่องว่าง</t>
  </si>
  <si>
    <t>ระบบระบุค่า NULL ได้</t>
  </si>
  <si>
    <t>TC_08</t>
  </si>
  <si>
    <t>การอนุมานประเภทข้อมูล CSV</t>
  </si>
  <si>
    <t>CSV ที่มีข้อมูลหลายประเภท</t>
  </si>
  <si>
    <t>ระบบตรวจจับประเภทคอลัมน์โดยอัตโนมัติ</t>
  </si>
  <si>
    <t>TC_09</t>
  </si>
  <si>
    <t>CSV ที่มีขึ้นบรรทัดใหม่ในฟิลด์</t>
  </si>
  <si>
    <t>CSV ที่มีฟิลด์หลายบรรทัด</t>
  </si>
  <si>
    <t>แถวไม่ถูกแบ่งด้วยขึ้นบรรทัดใหม่ภายใน</t>
  </si>
  <si>
    <t>TC_10</t>
  </si>
  <si>
    <t>ไฟล์ Excel ชีตเดียว</t>
  </si>
  <si>
    <t>Excel (1 ชีต)</t>
  </si>
  <si>
    <t>โหลดชีตได้ถูกต้อง</t>
  </si>
  <si>
    <t>TC_11</t>
  </si>
  <si>
    <t>ไฟล์ Excel หลายชีต</t>
  </si>
  <si>
    <t>Excel (3 ชีต)</t>
  </si>
  <si>
    <t>ระบุชีตทั้งหมดและสามารถโหลดได้</t>
  </si>
  <si>
    <t>TC_12</t>
  </si>
  <si>
    <t>Excel ที่มีเซลล์จัดรูปแบบ</t>
  </si>
  <si>
    <t>Excel ที่มีการจัดรูปแบบ</t>
  </si>
  <si>
    <t>ดึงข้อมูลได้ถูกต้อง</t>
  </si>
  <si>
    <t>TC_13</t>
  </si>
  <si>
    <t>การอนุมานประเภทข้อมูล Excel</t>
  </si>
  <si>
    <t>ข้อมูล Excel</t>
  </si>
  <si>
    <t>ตรวจจับประเภทข้อมูลได้ถูกต้อง</t>
  </si>
  <si>
    <t>TC_14</t>
  </si>
  <si>
    <t>โหลดตัวเลือกฐานข้อมูลจากแบ็กเอนด์</t>
  </si>
  <si>
    <t>การเริ่มต้นระบบ</t>
  </si>
  <si>
    <t>โหลดฐานข้อมูล 4 ประเภท</t>
  </si>
  <si>
    <t>TC_15</t>
  </si>
  <si>
    <t>เลือกฐานข้อมูลต้นทาง (PostgreSQL)</t>
  </si>
  <si>
    <t>เลือกแหล่งข้อมูล</t>
  </si>
  <si>
    <t>เลือก PostgreSQL สำเร็จ</t>
  </si>
  <si>
    <t>TC_16</t>
  </si>
  <si>
    <t>กรองฐานข้อมูลปลายทางตามต้นทาง</t>
  </si>
  <si>
    <t>การเลือกแหล่งข้อมูล</t>
  </si>
  <si>
    <t>กรองตัวเลือกปลายทางแล้ว</t>
  </si>
  <si>
    <t>TC_17</t>
  </si>
  <si>
    <t>ตรรกะเปิด/ปิดใช้งานปุ่มแปลง</t>
  </si>
  <si>
    <t>เงื่อนไขข้อมูลนำเข้า</t>
  </si>
  <si>
    <t>TC_18</t>
  </si>
  <si>
    <t>รองรับฐานข้อมูลทุกประเภท</t>
  </si>
  <si>
    <t>MySQL, Oracle, Postgres, SQL Server</t>
  </si>
  <si>
    <t>รองรับทั้ง 4 ประเภท</t>
  </si>
  <si>
    <t>TC_19</t>
  </si>
  <si>
    <t>การเชื่อมต่อแบ็กเอนด์ล้มเหลว</t>
  </si>
  <si>
    <t>การตัดการเชื่อมต่อเครือข่าย</t>
  </si>
  <si>
    <t>TC_20</t>
  </si>
  <si>
    <t>สลับธีม (มืด/สว่าง)</t>
  </si>
  <si>
    <t>คลิกสลับ</t>
  </si>
  <si>
    <t>UI สลับระหว่างธีมมืด/สว่าง</t>
  </si>
  <si>
    <t>TC_21</t>
  </si>
  <si>
    <t>การแก้ไข URL หลักของ API</t>
  </si>
  <si>
    <t>การตั้งค่า</t>
  </si>
  <si>
    <t>ชี้ไปยัง API URL ที่ถูกต้อง</t>
  </si>
  <si>
    <t>TC_22</t>
  </si>
  <si>
    <t>การแสดงตารางแมปประเภทข้อมูล</t>
  </si>
  <si>
    <t>ตัวอย่างการแปลง</t>
  </si>
  <si>
    <t>TC_23</t>
  </si>
  <si>
    <t>การแปลงประเภทข้อมูลทั่วไป</t>
  </si>
  <si>
    <t>ข้อมูลทั่วไป</t>
  </si>
  <si>
    <t>แปลงข้อมูลตามปกติ</t>
  </si>
  <si>
    <t>TC_24</t>
  </si>
  <si>
    <t>การตรวจจับ Primary Key</t>
  </si>
  <si>
    <t>ข้อมูลที่มี PK</t>
  </si>
  <si>
    <t>TC_25</t>
  </si>
  <si>
    <t>การตรวจจับ Foreign Key</t>
  </si>
  <si>
    <t>ข้อมูลที่มี FK</t>
  </si>
  <si>
    <t>TC_26</t>
  </si>
  <si>
    <t>การตรวจจับความผิดปกติของไบต์</t>
  </si>
  <si>
    <t>ไบต์ที่เสียหาย</t>
  </si>
  <si>
    <t>ระบบตรวจพบความผิดปกติ</t>
  </si>
  <si>
    <t>TC_27</t>
  </si>
  <si>
    <t>การจัดการข้อผิดพลาดประเภทที่ไม่รู้จัก</t>
  </si>
  <si>
    <t>ข้อมูลที่ไม่รู้จัก</t>
  </si>
  <si>
    <t>TC_28</t>
  </si>
  <si>
    <t>ข้อผิดพลาดการตรวจสอบ FK</t>
  </si>
  <si>
    <t>FK ที่ไม่ถูกต้อง</t>
  </si>
  <si>
    <t>แสดง 'FK Validation' เป็นสีแดง</t>
  </si>
  <si>
    <t>TC_29</t>
  </si>
  <si>
    <t>การแปลง SQL ไปยังแบ็กเอนด์</t>
  </si>
  <si>
    <t>ข้อมูล SQL</t>
  </si>
  <si>
    <t>TC_30</t>
  </si>
  <si>
    <t>คลิกปุ่มแปลง (ไม่มี SQL)</t>
  </si>
  <si>
    <t>ไฟล์ที่ไม่ใช่ SQL</t>
  </si>
  <si>
    <t>แปลงโดยไม่มีตัวอย่าง SQL</t>
  </si>
  <si>
    <t>TC_31</t>
  </si>
  <si>
    <t>ส่งออกตารางทั้งหมดเป็น CSV</t>
  </si>
  <si>
    <t>ข้อมูลที่ผ่านการประมวลผล</t>
  </si>
  <si>
    <t>TC_32</t>
  </si>
  <si>
    <t>ส่งออกตารางทั้งหมดเป็น XLSX</t>
  </si>
  <si>
    <t>ดาวน์โหลดทั้งหมดเป็น XLSX</t>
  </si>
  <si>
    <t>TC_33</t>
  </si>
  <si>
    <t>ส่งออกตารางที่เลือก</t>
  </si>
  <si>
    <t>การเลือกตาราง</t>
  </si>
  <si>
    <t>ส่งออกเฉพาะตารางที่เลือก</t>
  </si>
  <si>
    <t>TC_34</t>
  </si>
  <si>
    <t>การสร้าง Session หลังการแปลง</t>
  </si>
  <si>
    <t>การแปลงข้อมูล</t>
  </si>
  <si>
    <t>สร้าง Session ID แล้ว</t>
  </si>
  <si>
    <t>TC_35</t>
  </si>
  <si>
    <t>ลบ Session</t>
  </si>
  <si>
    <t>การล้างข้อมูล Session</t>
  </si>
  <si>
    <t>ล้างข้อมูลได้ถูกต้อง</t>
  </si>
  <si>
    <t>TC_36</t>
  </si>
  <si>
    <t>ล้างข้อมูลเมื่อออกจากหน้า</t>
  </si>
  <si>
    <t>การออกจากหน้า</t>
  </si>
  <si>
    <t>ล้าง Session ที่ใช้งานอยู่</t>
  </si>
  <si>
    <t>TC_37</t>
  </si>
  <si>
    <t>ข้อความสถานะ (ข้อมูล, สำเร็จ, ข้อผิดพลาด)</t>
  </si>
  <si>
    <t>การกระทำของระบบ</t>
  </si>
  <si>
    <t>แสดงข้อความสถานะที่ถูกต้อง</t>
  </si>
  <si>
    <t>TC_38</t>
  </si>
  <si>
    <t>ประสิทธิภาพกับตารางมากกว่า 100 ตาราง</t>
  </si>
  <si>
    <t>ชุดข้อมูลขนาดใหญ่ (120 ตาราง)</t>
  </si>
  <si>
    <t>PASS</t>
  </si>
  <si>
    <t>อ่านและอัปโหลดไฟล์ sql ได้โดยไม่มีปัญหา</t>
  </si>
  <si>
    <t>ระบบตรวจพบไฟล์ซ้ำและแจ้งผ่านหน้าต่างผู้ใช้ให้ทำการ verify ข้อมูลก่อนดำเนินการต่อ</t>
  </si>
  <si>
    <t>ระบบทำงานได้แบบปกติ</t>
  </si>
  <si>
    <t>ดาวน์โหลดทั้งหมดเป็นไฟล์ csv ที่ข้มูลอยู่ใน sheet เดียวกัน</t>
  </si>
  <si>
    <t>แสดงเป็นสีเหลือง 'unknowtype'</t>
  </si>
  <si>
    <t>เเสดง"api offline" และไม่สามารถใช้งานกระบวนการทำงานทั้งหมดได้</t>
  </si>
  <si>
    <t>แสดงการแมปข้อมูลที่ถูกต้องตามหลักการแมพปิ้งในตารางที่ชัดเจน</t>
  </si>
  <si>
    <t>ปุ่มสามารถใช้งานได้เมื่อเงื่อนไขครบ</t>
  </si>
  <si>
    <t>แสดงค่า 'PK' ใน ui และแสดงค่าเป็น 'Y' ที่มีการไฮไลท์สีเหลืองในไฟล์ Excelที่ format ใช้งานของผู้ใช้</t>
  </si>
  <si>
    <t>ระบุ FK และเชื่อมโยงตามในคำสั่ง Create Table แสดงผลผ่าน ui ผู้ใช้</t>
  </si>
  <si>
    <t>ระบบทำงานได้แบบปกติรองรับไฟล์ที่มีจำนวนเทเบิลมากกว่า 100 เทเบิลได้</t>
  </si>
  <si>
    <t>แสดงข้อมูลที่จับคู่ถูกต้อง</t>
  </si>
  <si>
    <t>ข้อมูลที่แสดงพรีวิวอยู่ไม่หายยังแสดงข้อมูลเดิมอยู่</t>
  </si>
  <si>
    <t>FAIL</t>
  </si>
  <si>
    <t>เมื่อกดปุ่ม convert &amp; proceed จะสร้าง session id ขึ้น</t>
  </si>
  <si>
    <t>แสดงผลแค่ข้อมูลตาราง raw และavro</t>
  </si>
  <si>
    <t>ไม่สามารถแปลงข้อมูลได้เพราะกำหนดเงื่อนไขต้องอัปโหลดข้อมูลและเลือกดาต้าเบสต้นทางและปลายทางของข้อมูลก่อนจึงจะใช้ได้</t>
  </si>
  <si>
    <t>แสดงผลผ่านlogของระบบโดยแสดงให้เห็นแปลงจากดาต้าเบสต้นทางเป็นอะไรและปลายทางเป็นอะไร</t>
  </si>
  <si>
    <t>ระบบแสดงเป็น unknowtype</t>
  </si>
  <si>
    <t>N/A</t>
  </si>
  <si>
    <t>summary</t>
  </si>
  <si>
    <t>PENDING</t>
  </si>
  <si>
    <t>ยังไม่ได้ทำ logic รองรับการทำงานที่แพโหลดเพื่อแปลงไฟล์ csv หรือ xlsx แปลงไปยัง sql</t>
  </si>
  <si>
    <t>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</si>
</sst>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3" fillId="0" borderId="1" xfId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le!@#$%^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B36" zoomScale="93" zoomScaleNormal="115" workbookViewId="0">
      <selection activeCell="H46" sqref="H46"/>
    </sheetView>
  </sheetViews>
  <sheetFormatPr defaultRowHeight="14.4" x14ac:dyDescent="0.3"/>
  <cols>
    <col min="1" max="1" width="12.6640625" customWidth="1"/>
    <col min="2" max="2" width="30.6640625" customWidth="1"/>
    <col min="3" max="3" width="20.6640625" customWidth="1"/>
    <col min="4" max="4" width="35.6640625" customWidth="1"/>
    <col min="5" max="7" width="25.6640625" customWidth="1"/>
    <col min="8" max="8" width="15.6640625" customWidth="1"/>
    <col min="9" max="9" width="41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174</v>
      </c>
    </row>
    <row r="2" spans="1:9" ht="5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3" t="s">
        <v>150</v>
      </c>
      <c r="I2" s="8"/>
    </row>
    <row r="3" spans="1:9" ht="57.6" customHeight="1" x14ac:dyDescent="0.3">
      <c r="A3" s="2" t="s">
        <v>14</v>
      </c>
      <c r="B3" s="2" t="s">
        <v>15</v>
      </c>
      <c r="C3" s="2" t="s">
        <v>16</v>
      </c>
      <c r="D3" s="2" t="s">
        <v>11</v>
      </c>
      <c r="E3" s="2" t="s">
        <v>17</v>
      </c>
      <c r="F3" s="2" t="s">
        <v>151</v>
      </c>
      <c r="G3" s="2" t="s">
        <v>151</v>
      </c>
      <c r="H3" s="6" t="s">
        <v>150</v>
      </c>
      <c r="I3" s="8"/>
    </row>
    <row r="4" spans="1:9" ht="57.6" customHeight="1" x14ac:dyDescent="0.3">
      <c r="A4" s="2" t="s">
        <v>18</v>
      </c>
      <c r="B4" s="2" t="s">
        <v>19</v>
      </c>
      <c r="C4" s="2" t="s">
        <v>10</v>
      </c>
      <c r="D4" s="2" t="s">
        <v>11</v>
      </c>
      <c r="E4" s="2" t="s">
        <v>20</v>
      </c>
      <c r="F4" s="2" t="s">
        <v>152</v>
      </c>
      <c r="G4" s="2"/>
      <c r="H4" s="6" t="s">
        <v>170</v>
      </c>
      <c r="I4" s="2" t="s">
        <v>173</v>
      </c>
    </row>
    <row r="5" spans="1:9" ht="57.6" customHeight="1" x14ac:dyDescent="0.3">
      <c r="A5" s="2" t="s">
        <v>21</v>
      </c>
      <c r="B5" s="2" t="s">
        <v>22</v>
      </c>
      <c r="C5" s="2" t="s">
        <v>10</v>
      </c>
      <c r="D5" s="2" t="s">
        <v>11</v>
      </c>
      <c r="E5" s="4" t="s">
        <v>23</v>
      </c>
      <c r="F5" s="2" t="s">
        <v>13</v>
      </c>
      <c r="G5" s="2" t="s">
        <v>13</v>
      </c>
      <c r="H5" s="6" t="s">
        <v>150</v>
      </c>
      <c r="I5" s="8"/>
    </row>
    <row r="6" spans="1:9" ht="57.6" customHeight="1" x14ac:dyDescent="0.3">
      <c r="A6" s="2" t="s">
        <v>24</v>
      </c>
      <c r="B6" s="2" t="s">
        <v>25</v>
      </c>
      <c r="C6" s="2" t="s">
        <v>10</v>
      </c>
      <c r="D6" s="2" t="s">
        <v>11</v>
      </c>
      <c r="E6" s="2" t="s">
        <v>26</v>
      </c>
      <c r="F6" s="2" t="s">
        <v>27</v>
      </c>
      <c r="G6" s="2"/>
      <c r="H6" s="6" t="s">
        <v>170</v>
      </c>
      <c r="I6" s="2" t="s">
        <v>173</v>
      </c>
    </row>
    <row r="7" spans="1:9" ht="57.6" customHeight="1" x14ac:dyDescent="0.3">
      <c r="A7" s="2" t="s">
        <v>28</v>
      </c>
      <c r="B7" s="2" t="s">
        <v>29</v>
      </c>
      <c r="C7" s="2" t="s">
        <v>10</v>
      </c>
      <c r="D7" s="2" t="s">
        <v>11</v>
      </c>
      <c r="E7" s="2" t="s">
        <v>30</v>
      </c>
      <c r="F7" s="2" t="s">
        <v>31</v>
      </c>
      <c r="G7" s="2"/>
      <c r="H7" s="6" t="s">
        <v>170</v>
      </c>
      <c r="I7" s="2" t="s">
        <v>173</v>
      </c>
    </row>
    <row r="8" spans="1:9" ht="57.6" customHeight="1" x14ac:dyDescent="0.3">
      <c r="A8" s="2" t="s">
        <v>32</v>
      </c>
      <c r="B8" s="2" t="s">
        <v>33</v>
      </c>
      <c r="C8" s="2" t="s">
        <v>10</v>
      </c>
      <c r="D8" s="2" t="s">
        <v>11</v>
      </c>
      <c r="E8" s="2" t="s">
        <v>34</v>
      </c>
      <c r="F8" s="2" t="s">
        <v>35</v>
      </c>
      <c r="G8" s="2"/>
      <c r="H8" s="6" t="s">
        <v>170</v>
      </c>
      <c r="I8" s="2" t="s">
        <v>173</v>
      </c>
    </row>
    <row r="9" spans="1:9" ht="57.6" customHeight="1" x14ac:dyDescent="0.3">
      <c r="A9" s="2" t="s">
        <v>36</v>
      </c>
      <c r="B9" s="2" t="s">
        <v>37</v>
      </c>
      <c r="C9" s="2" t="s">
        <v>10</v>
      </c>
      <c r="D9" s="2" t="s">
        <v>11</v>
      </c>
      <c r="E9" s="2" t="s">
        <v>38</v>
      </c>
      <c r="F9" s="2" t="s">
        <v>39</v>
      </c>
      <c r="G9" s="2"/>
      <c r="H9" s="6" t="s">
        <v>170</v>
      </c>
      <c r="I9" s="2" t="s">
        <v>173</v>
      </c>
    </row>
    <row r="10" spans="1:9" ht="57.6" customHeight="1" x14ac:dyDescent="0.3">
      <c r="A10" s="2" t="s">
        <v>40</v>
      </c>
      <c r="B10" s="2" t="s">
        <v>41</v>
      </c>
      <c r="C10" s="2" t="s">
        <v>10</v>
      </c>
      <c r="D10" s="2" t="s">
        <v>11</v>
      </c>
      <c r="E10" s="2" t="s">
        <v>42</v>
      </c>
      <c r="F10" s="2" t="s">
        <v>43</v>
      </c>
      <c r="G10" s="2"/>
      <c r="H10" s="6" t="s">
        <v>170</v>
      </c>
      <c r="I10" s="2" t="s">
        <v>173</v>
      </c>
    </row>
    <row r="11" spans="1:9" ht="57.6" customHeight="1" x14ac:dyDescent="0.3">
      <c r="A11" s="2" t="s">
        <v>44</v>
      </c>
      <c r="B11" s="2" t="s">
        <v>45</v>
      </c>
      <c r="C11" s="2" t="s">
        <v>10</v>
      </c>
      <c r="D11" s="2" t="s">
        <v>11</v>
      </c>
      <c r="E11" s="2" t="s">
        <v>46</v>
      </c>
      <c r="F11" s="2" t="s">
        <v>47</v>
      </c>
      <c r="G11" s="2"/>
      <c r="H11" s="6" t="s">
        <v>170</v>
      </c>
      <c r="I11" s="2" t="s">
        <v>173</v>
      </c>
    </row>
    <row r="12" spans="1:9" ht="57.6" customHeight="1" x14ac:dyDescent="0.3">
      <c r="A12" s="2" t="s">
        <v>48</v>
      </c>
      <c r="B12" s="2" t="s">
        <v>49</v>
      </c>
      <c r="C12" s="2" t="s">
        <v>10</v>
      </c>
      <c r="D12" s="2" t="s">
        <v>11</v>
      </c>
      <c r="E12" s="2" t="s">
        <v>50</v>
      </c>
      <c r="F12" s="2" t="s">
        <v>51</v>
      </c>
      <c r="G12" s="2"/>
      <c r="H12" s="6" t="s">
        <v>170</v>
      </c>
      <c r="I12" s="2" t="s">
        <v>173</v>
      </c>
    </row>
    <row r="13" spans="1:9" ht="57.6" customHeight="1" x14ac:dyDescent="0.3">
      <c r="A13" s="2" t="s">
        <v>52</v>
      </c>
      <c r="B13" s="2" t="s">
        <v>53</v>
      </c>
      <c r="C13" s="2" t="s">
        <v>10</v>
      </c>
      <c r="D13" s="2" t="s">
        <v>11</v>
      </c>
      <c r="E13" s="2" t="s">
        <v>54</v>
      </c>
      <c r="F13" s="2" t="s">
        <v>55</v>
      </c>
      <c r="G13" s="2"/>
      <c r="H13" s="6" t="s">
        <v>170</v>
      </c>
      <c r="I13" s="2" t="s">
        <v>173</v>
      </c>
    </row>
    <row r="14" spans="1:9" ht="57.6" customHeight="1" x14ac:dyDescent="0.3">
      <c r="A14" s="2" t="s">
        <v>56</v>
      </c>
      <c r="B14" s="2" t="s">
        <v>57</v>
      </c>
      <c r="C14" s="2" t="s">
        <v>10</v>
      </c>
      <c r="D14" s="2" t="s">
        <v>11</v>
      </c>
      <c r="E14" s="2" t="s">
        <v>58</v>
      </c>
      <c r="F14" s="2" t="s">
        <v>59</v>
      </c>
      <c r="G14" s="2"/>
      <c r="H14" s="6" t="s">
        <v>170</v>
      </c>
      <c r="I14" s="2" t="s">
        <v>173</v>
      </c>
    </row>
    <row r="15" spans="1:9" ht="57.6" customHeight="1" x14ac:dyDescent="0.3">
      <c r="A15" s="2" t="s">
        <v>60</v>
      </c>
      <c r="B15" s="2" t="s">
        <v>61</v>
      </c>
      <c r="C15" s="2" t="s">
        <v>10</v>
      </c>
      <c r="D15" s="2" t="s">
        <v>11</v>
      </c>
      <c r="E15" s="2" t="s">
        <v>62</v>
      </c>
      <c r="F15" s="2" t="s">
        <v>63</v>
      </c>
      <c r="G15" s="5" t="s">
        <v>63</v>
      </c>
      <c r="H15" s="7" t="s">
        <v>150</v>
      </c>
      <c r="I15" s="8"/>
    </row>
    <row r="16" spans="1:9" ht="57.6" customHeight="1" x14ac:dyDescent="0.3">
      <c r="A16" s="2" t="s">
        <v>64</v>
      </c>
      <c r="B16" s="2" t="s">
        <v>65</v>
      </c>
      <c r="C16" s="2" t="s">
        <v>10</v>
      </c>
      <c r="D16" s="2" t="s">
        <v>11</v>
      </c>
      <c r="E16" s="2" t="s">
        <v>66</v>
      </c>
      <c r="F16" s="2" t="s">
        <v>67</v>
      </c>
      <c r="G16" s="2" t="s">
        <v>67</v>
      </c>
      <c r="H16" s="7" t="s">
        <v>150</v>
      </c>
      <c r="I16" s="2"/>
    </row>
    <row r="17" spans="1:9" ht="57.6" customHeight="1" x14ac:dyDescent="0.3">
      <c r="A17" s="2" t="s">
        <v>68</v>
      </c>
      <c r="B17" s="2" t="s">
        <v>69</v>
      </c>
      <c r="C17" s="2" t="s">
        <v>10</v>
      </c>
      <c r="D17" s="2" t="s">
        <v>11</v>
      </c>
      <c r="E17" s="2" t="s">
        <v>70</v>
      </c>
      <c r="F17" s="2" t="s">
        <v>71</v>
      </c>
      <c r="G17" s="2" t="s">
        <v>71</v>
      </c>
      <c r="H17" s="6" t="s">
        <v>150</v>
      </c>
      <c r="I17" s="8"/>
    </row>
    <row r="18" spans="1:9" ht="57.6" customHeight="1" x14ac:dyDescent="0.3">
      <c r="A18" s="2" t="s">
        <v>72</v>
      </c>
      <c r="B18" s="2" t="s">
        <v>73</v>
      </c>
      <c r="C18" s="2" t="s">
        <v>10</v>
      </c>
      <c r="D18" s="2" t="s">
        <v>11</v>
      </c>
      <c r="E18" s="2" t="s">
        <v>74</v>
      </c>
      <c r="F18" s="2" t="s">
        <v>158</v>
      </c>
      <c r="G18" s="2" t="s">
        <v>158</v>
      </c>
      <c r="H18" s="6" t="s">
        <v>150</v>
      </c>
      <c r="I18" s="8"/>
    </row>
    <row r="19" spans="1:9" ht="57.6" customHeight="1" x14ac:dyDescent="0.3">
      <c r="A19" s="2" t="s">
        <v>75</v>
      </c>
      <c r="B19" s="2" t="s">
        <v>76</v>
      </c>
      <c r="C19" s="2" t="s">
        <v>10</v>
      </c>
      <c r="D19" s="2" t="s">
        <v>11</v>
      </c>
      <c r="E19" s="2" t="s">
        <v>77</v>
      </c>
      <c r="F19" s="2" t="s">
        <v>78</v>
      </c>
      <c r="G19" s="2" t="s">
        <v>78</v>
      </c>
      <c r="H19" s="6" t="s">
        <v>150</v>
      </c>
      <c r="I19" s="8"/>
    </row>
    <row r="20" spans="1:9" ht="57.6" customHeight="1" x14ac:dyDescent="0.3">
      <c r="A20" s="2" t="s">
        <v>79</v>
      </c>
      <c r="B20" s="2" t="s">
        <v>80</v>
      </c>
      <c r="C20" s="2" t="s">
        <v>10</v>
      </c>
      <c r="D20" s="2" t="s">
        <v>11</v>
      </c>
      <c r="E20" s="2" t="s">
        <v>81</v>
      </c>
      <c r="F20" s="2" t="s">
        <v>156</v>
      </c>
      <c r="G20" s="2" t="s">
        <v>156</v>
      </c>
      <c r="H20" s="6" t="s">
        <v>150</v>
      </c>
      <c r="I20" s="8"/>
    </row>
    <row r="21" spans="1:9" ht="57.6" customHeight="1" x14ac:dyDescent="0.3">
      <c r="A21" s="2" t="s">
        <v>82</v>
      </c>
      <c r="B21" s="2" t="s">
        <v>83</v>
      </c>
      <c r="C21" s="2" t="s">
        <v>10</v>
      </c>
      <c r="D21" s="2" t="s">
        <v>11</v>
      </c>
      <c r="E21" s="2" t="s">
        <v>84</v>
      </c>
      <c r="F21" s="2" t="s">
        <v>85</v>
      </c>
      <c r="G21" s="2" t="s">
        <v>85</v>
      </c>
      <c r="H21" s="6" t="s">
        <v>150</v>
      </c>
      <c r="I21" s="8"/>
    </row>
    <row r="22" spans="1:9" ht="57.6" customHeight="1" x14ac:dyDescent="0.3">
      <c r="A22" s="2" t="s">
        <v>86</v>
      </c>
      <c r="B22" s="2" t="s">
        <v>87</v>
      </c>
      <c r="C22" s="2" t="s">
        <v>10</v>
      </c>
      <c r="D22" s="2" t="s">
        <v>11</v>
      </c>
      <c r="E22" s="2" t="s">
        <v>88</v>
      </c>
      <c r="F22" s="2" t="s">
        <v>89</v>
      </c>
      <c r="G22" s="2" t="s">
        <v>89</v>
      </c>
      <c r="H22" s="6" t="s">
        <v>150</v>
      </c>
      <c r="I22" s="8"/>
    </row>
    <row r="23" spans="1:9" ht="57.6" customHeight="1" x14ac:dyDescent="0.3">
      <c r="A23" s="2" t="s">
        <v>90</v>
      </c>
      <c r="B23" s="2" t="s">
        <v>91</v>
      </c>
      <c r="C23" s="2" t="s">
        <v>10</v>
      </c>
      <c r="D23" s="2" t="s">
        <v>11</v>
      </c>
      <c r="E23" s="2" t="s">
        <v>92</v>
      </c>
      <c r="F23" s="2" t="s">
        <v>157</v>
      </c>
      <c r="G23" s="2" t="s">
        <v>157</v>
      </c>
      <c r="H23" s="6" t="s">
        <v>150</v>
      </c>
      <c r="I23" s="8"/>
    </row>
    <row r="24" spans="1:9" ht="57.6" customHeight="1" x14ac:dyDescent="0.3">
      <c r="A24" s="2" t="s">
        <v>93</v>
      </c>
      <c r="B24" s="2" t="s">
        <v>94</v>
      </c>
      <c r="C24" s="2" t="s">
        <v>10</v>
      </c>
      <c r="D24" s="2" t="s">
        <v>11</v>
      </c>
      <c r="E24" s="2" t="s">
        <v>95</v>
      </c>
      <c r="F24" s="2" t="s">
        <v>96</v>
      </c>
      <c r="G24" s="2" t="s">
        <v>96</v>
      </c>
      <c r="H24" s="6" t="s">
        <v>150</v>
      </c>
      <c r="I24" s="8"/>
    </row>
    <row r="25" spans="1:9" ht="57.6" customHeight="1" x14ac:dyDescent="0.3">
      <c r="A25" s="2" t="s">
        <v>97</v>
      </c>
      <c r="B25" s="2" t="s">
        <v>98</v>
      </c>
      <c r="C25" s="2" t="s">
        <v>10</v>
      </c>
      <c r="D25" s="2" t="s">
        <v>11</v>
      </c>
      <c r="E25" s="2" t="s">
        <v>99</v>
      </c>
      <c r="F25" s="2" t="s">
        <v>159</v>
      </c>
      <c r="G25" s="2" t="s">
        <v>159</v>
      </c>
      <c r="H25" s="6" t="s">
        <v>150</v>
      </c>
      <c r="I25" s="8"/>
    </row>
    <row r="26" spans="1:9" ht="57.6" customHeight="1" x14ac:dyDescent="0.3">
      <c r="A26" s="2" t="s">
        <v>100</v>
      </c>
      <c r="B26" s="2" t="s">
        <v>101</v>
      </c>
      <c r="C26" s="2" t="s">
        <v>10</v>
      </c>
      <c r="D26" s="2" t="s">
        <v>11</v>
      </c>
      <c r="E26" s="2" t="s">
        <v>102</v>
      </c>
      <c r="F26" s="2" t="s">
        <v>160</v>
      </c>
      <c r="G26" s="2" t="s">
        <v>160</v>
      </c>
      <c r="H26" s="6" t="s">
        <v>150</v>
      </c>
      <c r="I26" s="6"/>
    </row>
    <row r="27" spans="1:9" ht="57.6" customHeight="1" x14ac:dyDescent="0.3">
      <c r="A27" s="2" t="s">
        <v>103</v>
      </c>
      <c r="B27" s="2" t="s">
        <v>104</v>
      </c>
      <c r="C27" s="2" t="s">
        <v>10</v>
      </c>
      <c r="D27" s="2" t="s">
        <v>11</v>
      </c>
      <c r="E27" s="2" t="s">
        <v>105</v>
      </c>
      <c r="F27" s="2" t="s">
        <v>106</v>
      </c>
      <c r="G27" s="2" t="s">
        <v>169</v>
      </c>
      <c r="H27" s="6" t="s">
        <v>164</v>
      </c>
      <c r="I27" s="8"/>
    </row>
    <row r="28" spans="1:9" ht="57.6" customHeight="1" x14ac:dyDescent="0.3">
      <c r="A28" s="2" t="s">
        <v>107</v>
      </c>
      <c r="B28" s="2" t="s">
        <v>108</v>
      </c>
      <c r="C28" s="2" t="s">
        <v>10</v>
      </c>
      <c r="D28" s="2" t="s">
        <v>11</v>
      </c>
      <c r="E28" s="2" t="s">
        <v>109</v>
      </c>
      <c r="F28" s="2" t="s">
        <v>155</v>
      </c>
      <c r="G28" s="2" t="s">
        <v>155</v>
      </c>
      <c r="H28" s="6" t="s">
        <v>150</v>
      </c>
      <c r="I28" s="8"/>
    </row>
    <row r="29" spans="1:9" ht="57.6" customHeight="1" x14ac:dyDescent="0.3">
      <c r="A29" s="2" t="s">
        <v>110</v>
      </c>
      <c r="B29" s="2" t="s">
        <v>111</v>
      </c>
      <c r="C29" s="2" t="s">
        <v>10</v>
      </c>
      <c r="D29" s="2" t="s">
        <v>11</v>
      </c>
      <c r="E29" s="2" t="s">
        <v>112</v>
      </c>
      <c r="F29" s="2" t="s">
        <v>113</v>
      </c>
      <c r="G29" s="2" t="s">
        <v>113</v>
      </c>
      <c r="H29" s="6" t="s">
        <v>150</v>
      </c>
      <c r="I29" s="8"/>
    </row>
    <row r="30" spans="1:9" ht="57.6" customHeight="1" x14ac:dyDescent="0.3">
      <c r="A30" s="2" t="s">
        <v>114</v>
      </c>
      <c r="B30" s="2" t="s">
        <v>115</v>
      </c>
      <c r="C30" s="2" t="s">
        <v>10</v>
      </c>
      <c r="D30" s="2" t="s">
        <v>11</v>
      </c>
      <c r="E30" s="2" t="s">
        <v>116</v>
      </c>
      <c r="F30" s="2" t="s">
        <v>168</v>
      </c>
      <c r="G30" s="2" t="s">
        <v>168</v>
      </c>
      <c r="H30" s="6" t="s">
        <v>150</v>
      </c>
      <c r="I30" s="8"/>
    </row>
    <row r="31" spans="1:9" ht="74.400000000000006" customHeight="1" x14ac:dyDescent="0.3">
      <c r="A31" s="2" t="s">
        <v>117</v>
      </c>
      <c r="B31" s="2" t="s">
        <v>118</v>
      </c>
      <c r="C31" s="2" t="s">
        <v>10</v>
      </c>
      <c r="D31" s="2" t="s">
        <v>11</v>
      </c>
      <c r="E31" s="2" t="s">
        <v>119</v>
      </c>
      <c r="F31" s="2" t="s">
        <v>120</v>
      </c>
      <c r="G31" s="2" t="s">
        <v>167</v>
      </c>
      <c r="H31" s="6" t="s">
        <v>164</v>
      </c>
      <c r="I31" s="8"/>
    </row>
    <row r="32" spans="1:9" ht="57.6" customHeight="1" x14ac:dyDescent="0.3">
      <c r="A32" s="2" t="s">
        <v>121</v>
      </c>
      <c r="B32" s="2" t="s">
        <v>122</v>
      </c>
      <c r="C32" s="2" t="s">
        <v>10</v>
      </c>
      <c r="D32" s="2" t="s">
        <v>11</v>
      </c>
      <c r="E32" s="2" t="s">
        <v>123</v>
      </c>
      <c r="F32" s="2" t="s">
        <v>154</v>
      </c>
      <c r="G32" s="2" t="s">
        <v>166</v>
      </c>
      <c r="H32" s="6" t="s">
        <v>164</v>
      </c>
      <c r="I32" s="8"/>
    </row>
    <row r="33" spans="1:9" ht="57.6" customHeight="1" x14ac:dyDescent="0.3">
      <c r="A33" s="2" t="s">
        <v>124</v>
      </c>
      <c r="B33" s="2" t="s">
        <v>125</v>
      </c>
      <c r="C33" s="2" t="s">
        <v>10</v>
      </c>
      <c r="D33" s="2" t="s">
        <v>11</v>
      </c>
      <c r="E33" s="2" t="s">
        <v>123</v>
      </c>
      <c r="F33" s="2" t="s">
        <v>126</v>
      </c>
      <c r="G33" s="2" t="s">
        <v>126</v>
      </c>
      <c r="H33" s="6" t="s">
        <v>150</v>
      </c>
      <c r="I33" s="8"/>
    </row>
    <row r="34" spans="1:9" ht="57.6" customHeight="1" x14ac:dyDescent="0.3">
      <c r="A34" s="2" t="s">
        <v>127</v>
      </c>
      <c r="B34" s="2" t="s">
        <v>128</v>
      </c>
      <c r="C34" s="2" t="s">
        <v>10</v>
      </c>
      <c r="D34" s="2" t="s">
        <v>11</v>
      </c>
      <c r="E34" s="2" t="s">
        <v>129</v>
      </c>
      <c r="F34" s="2" t="s">
        <v>130</v>
      </c>
      <c r="G34" s="2" t="s">
        <v>130</v>
      </c>
      <c r="H34" s="6" t="s">
        <v>150</v>
      </c>
      <c r="I34" s="8"/>
    </row>
    <row r="35" spans="1:9" ht="57.6" customHeight="1" x14ac:dyDescent="0.3">
      <c r="A35" s="2" t="s">
        <v>131</v>
      </c>
      <c r="B35" s="2" t="s">
        <v>132</v>
      </c>
      <c r="C35" s="2" t="s">
        <v>10</v>
      </c>
      <c r="D35" s="2" t="s">
        <v>11</v>
      </c>
      <c r="E35" s="2" t="s">
        <v>133</v>
      </c>
      <c r="F35" s="2" t="s">
        <v>134</v>
      </c>
      <c r="G35" s="2" t="s">
        <v>165</v>
      </c>
      <c r="H35" s="6" t="s">
        <v>150</v>
      </c>
      <c r="I35" s="8"/>
    </row>
    <row r="36" spans="1:9" ht="57.6" customHeight="1" x14ac:dyDescent="0.3">
      <c r="A36" s="2" t="s">
        <v>135</v>
      </c>
      <c r="B36" s="2" t="s">
        <v>136</v>
      </c>
      <c r="C36" s="2" t="s">
        <v>10</v>
      </c>
      <c r="D36" s="2" t="s">
        <v>11</v>
      </c>
      <c r="E36" s="2" t="s">
        <v>137</v>
      </c>
      <c r="F36" s="2" t="s">
        <v>138</v>
      </c>
      <c r="G36" s="2" t="s">
        <v>163</v>
      </c>
      <c r="H36" s="6" t="s">
        <v>164</v>
      </c>
      <c r="I36" s="8"/>
    </row>
    <row r="37" spans="1:9" ht="57.6" customHeight="1" x14ac:dyDescent="0.3">
      <c r="A37" s="2" t="s">
        <v>139</v>
      </c>
      <c r="B37" s="2" t="s">
        <v>140</v>
      </c>
      <c r="C37" s="2" t="s">
        <v>10</v>
      </c>
      <c r="D37" s="2" t="s">
        <v>11</v>
      </c>
      <c r="E37" s="2" t="s">
        <v>141</v>
      </c>
      <c r="F37" s="2" t="s">
        <v>142</v>
      </c>
      <c r="G37" s="2" t="s">
        <v>142</v>
      </c>
      <c r="H37" s="9" t="s">
        <v>150</v>
      </c>
      <c r="I37" s="8"/>
    </row>
    <row r="38" spans="1:9" ht="57.6" customHeight="1" x14ac:dyDescent="0.3">
      <c r="A38" s="2" t="s">
        <v>143</v>
      </c>
      <c r="B38" s="2" t="s">
        <v>144</v>
      </c>
      <c r="C38" s="2" t="s">
        <v>10</v>
      </c>
      <c r="D38" s="2" t="s">
        <v>11</v>
      </c>
      <c r="E38" s="2" t="s">
        <v>145</v>
      </c>
      <c r="F38" s="2" t="s">
        <v>146</v>
      </c>
      <c r="G38" s="2" t="s">
        <v>162</v>
      </c>
      <c r="H38" s="6" t="s">
        <v>150</v>
      </c>
      <c r="I38" s="8"/>
    </row>
    <row r="39" spans="1:9" ht="57.6" customHeight="1" x14ac:dyDescent="0.3">
      <c r="A39" s="2" t="s">
        <v>147</v>
      </c>
      <c r="B39" s="2" t="s">
        <v>148</v>
      </c>
      <c r="C39" s="2" t="s">
        <v>10</v>
      </c>
      <c r="D39" s="2" t="s">
        <v>11</v>
      </c>
      <c r="E39" s="2" t="s">
        <v>149</v>
      </c>
      <c r="F39" s="2" t="s">
        <v>153</v>
      </c>
      <c r="G39" s="2" t="s">
        <v>161</v>
      </c>
      <c r="H39" s="6" t="s">
        <v>150</v>
      </c>
      <c r="I39" s="8"/>
    </row>
    <row r="41" spans="1:9" x14ac:dyDescent="0.3">
      <c r="B41" s="10" t="s">
        <v>171</v>
      </c>
      <c r="C41" s="10"/>
    </row>
    <row r="42" spans="1:9" x14ac:dyDescent="0.3">
      <c r="B42" s="2" t="s">
        <v>150</v>
      </c>
      <c r="C42" s="8">
        <f>COUNTIF(H2:H100, "Pass")</f>
        <v>24</v>
      </c>
    </row>
    <row r="43" spans="1:9" x14ac:dyDescent="0.3">
      <c r="B43" s="2" t="s">
        <v>164</v>
      </c>
      <c r="C43" s="8">
        <f>COUNTIF(H2:H100, "Fail")</f>
        <v>4</v>
      </c>
    </row>
    <row r="44" spans="1:9" x14ac:dyDescent="0.3">
      <c r="B44" s="2" t="s">
        <v>170</v>
      </c>
      <c r="C44" s="8">
        <f>COUNTIF(H2:H100, "N/A")</f>
        <v>10</v>
      </c>
    </row>
    <row r="45" spans="1:9" x14ac:dyDescent="0.3">
      <c r="B45" s="2" t="s">
        <v>172</v>
      </c>
      <c r="C45" s="8">
        <f>COUNTIF(H2:H100, "Pending")</f>
        <v>0</v>
      </c>
    </row>
  </sheetData>
  <mergeCells count="1">
    <mergeCell ref="B41:C41"/>
  </mergeCells>
  <conditionalFormatting sqref="H2:H25 H26:I26 H27:H39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1">
    <dataValidation type="list" allowBlank="1" showInputMessage="1" showErrorMessage="1" sqref="I26 H2:H39" xr:uid="{00000000-0002-0000-0000-000000000000}">
      <formula1>"PASS,FAIL,N/A,PENDING"</formula1>
    </dataValidation>
  </dataValidations>
  <hyperlinks>
    <hyperlink ref="E5" r:id="rId1" xr:uid="{4C6516DD-6ADA-439F-A215-148CD2FECF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</dc:creator>
  <cp:lastModifiedBy>Chayanggoon Songphim</cp:lastModifiedBy>
  <dcterms:created xsi:type="dcterms:W3CDTF">2026-05-12T08:23:12Z</dcterms:created>
  <dcterms:modified xsi:type="dcterms:W3CDTF">2026-05-13T05:09:15Z</dcterms:modified>
</cp:coreProperties>
</file>